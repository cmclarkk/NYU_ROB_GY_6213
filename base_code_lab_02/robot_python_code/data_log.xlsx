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740" windowHeight="12750" activeTab="1"/>
  </bookViews>
  <sheets>
    <sheet name="Sheet1" sheetId="1" r:id="rId1"/>
    <sheet name="Sheet2" sheetId="2" r:id="rId2"/>
  </sheets>
  <calcPr calcId="144525"/>
</workbook>
</file>

<file path=xl/sharedStrings.xml><?xml version="1.0" encoding="utf-8"?>
<sst xmlns="http://schemas.openxmlformats.org/spreadsheetml/2006/main" count="13" uniqueCount="8">
  <si>
    <t>duration</t>
  </si>
  <si>
    <t>speed</t>
  </si>
  <si>
    <t>x</t>
  </si>
  <si>
    <t>y</t>
  </si>
  <si>
    <t>distance</t>
  </si>
  <si>
    <t>cmd_rato</t>
  </si>
  <si>
    <t>alpha</t>
  </si>
  <si>
    <t>theta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</si>
</sst>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176" formatCode="_ * #,##0_ ;_ * \-#,##0_ ;_ * &quot;-&quot;_ ;_ @_ "/>
    <numFmt numFmtId="42" formatCode="_(&quot;$&quot;* #,##0_);_(&quot;$&quot;* \(#,##0\);_(&quot;$&quot;* &quot;-&quot;_);_(@_)"/>
    <numFmt numFmtId="177" formatCode="_ * #,##0.00_ ;_ * \-#,##0.00_ ;_ * &quot;-&quot;??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9" fillId="14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0" fillId="4" borderId="5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1" fillId="5" borderId="4" applyNumberFormat="0" applyFont="0" applyAlignment="0" applyProtection="0">
      <alignment vertical="center"/>
    </xf>
    <xf numFmtId="0" fontId="5" fillId="3" borderId="2" applyNumberForma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4" borderId="2" applyNumberFormat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6" fillId="0" borderId="1" applyNumberFormat="0" applyFill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0" fontId="11" fillId="8" borderId="6" applyNumberFormat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"/>
  <sheetViews>
    <sheetView workbookViewId="0">
      <selection activeCell="D2" sqref="D2:D10"/>
    </sheetView>
  </sheetViews>
  <sheetFormatPr defaultColWidth="9" defaultRowHeight="14.25" outlineLevelCol="7"/>
  <cols>
    <col min="6" max="8" width="12.625"/>
  </cols>
  <sheetData>
    <row r="1" spans="1:8">
      <c r="A1" t="s">
        <v>0</v>
      </c>
      <c r="B1" t="s">
        <v>1</v>
      </c>
      <c r="C1" t="s">
        <v>2</v>
      </c>
      <c r="D1" t="s">
        <v>3</v>
      </c>
      <c r="F1" t="s">
        <v>4</v>
      </c>
      <c r="G1" t="s">
        <v>1</v>
      </c>
      <c r="H1" t="s">
        <v>5</v>
      </c>
    </row>
    <row r="2" spans="1:8">
      <c r="A2">
        <v>3</v>
      </c>
      <c r="B2">
        <v>30</v>
      </c>
      <c r="C2">
        <v>36.5</v>
      </c>
      <c r="D2">
        <v>-0.3</v>
      </c>
      <c r="F2">
        <f>SQRT(SUM(C2^2,D2^2))</f>
        <v>36.5012328558913</v>
      </c>
      <c r="G2">
        <f>F2/A2</f>
        <v>12.1670776186304</v>
      </c>
      <c r="H2">
        <f>G2/B2</f>
        <v>0.405569253954348</v>
      </c>
    </row>
    <row r="3" spans="1:8">
      <c r="A3">
        <v>3</v>
      </c>
      <c r="B3">
        <v>30</v>
      </c>
      <c r="C3">
        <v>36.3</v>
      </c>
      <c r="D3">
        <v>0.4</v>
      </c>
      <c r="F3">
        <f t="shared" ref="F3:F10" si="0">SQRT(SUM(C3^2,D3^2))</f>
        <v>36.3022037898528</v>
      </c>
      <c r="G3">
        <f t="shared" ref="G3:G10" si="1">F3/A3</f>
        <v>12.1007345966176</v>
      </c>
      <c r="H3">
        <f t="shared" ref="H3:H10" si="2">G3/B3</f>
        <v>0.403357819887253</v>
      </c>
    </row>
    <row r="4" spans="1:8">
      <c r="A4">
        <v>3</v>
      </c>
      <c r="B4">
        <v>30</v>
      </c>
      <c r="C4">
        <v>35.7</v>
      </c>
      <c r="D4">
        <v>0.2</v>
      </c>
      <c r="F4">
        <f t="shared" si="0"/>
        <v>35.700560219694</v>
      </c>
      <c r="G4">
        <f t="shared" si="1"/>
        <v>11.900186739898</v>
      </c>
      <c r="H4">
        <f t="shared" si="2"/>
        <v>0.396672891329934</v>
      </c>
    </row>
    <row r="5" spans="1:8">
      <c r="A5">
        <v>6</v>
      </c>
      <c r="B5">
        <v>30</v>
      </c>
      <c r="C5">
        <v>77.7</v>
      </c>
      <c r="D5">
        <v>-0.9</v>
      </c>
      <c r="F5">
        <f t="shared" si="0"/>
        <v>77.7052121803937</v>
      </c>
      <c r="G5">
        <f t="shared" si="1"/>
        <v>12.9508686967323</v>
      </c>
      <c r="H5">
        <f t="shared" si="2"/>
        <v>0.431695623224409</v>
      </c>
    </row>
    <row r="6" spans="1:8">
      <c r="A6">
        <v>6</v>
      </c>
      <c r="B6">
        <v>30</v>
      </c>
      <c r="C6">
        <v>79.4</v>
      </c>
      <c r="D6">
        <v>-1.2</v>
      </c>
      <c r="F6">
        <f t="shared" si="0"/>
        <v>79.4090674923211</v>
      </c>
      <c r="G6">
        <f t="shared" si="1"/>
        <v>13.2348445820535</v>
      </c>
      <c r="H6">
        <f t="shared" si="2"/>
        <v>0.44116148606845</v>
      </c>
    </row>
    <row r="7" spans="1:8">
      <c r="A7">
        <v>6</v>
      </c>
      <c r="B7">
        <v>30</v>
      </c>
      <c r="C7">
        <v>80.3</v>
      </c>
      <c r="D7">
        <v>-1.1</v>
      </c>
      <c r="F7">
        <f t="shared" si="0"/>
        <v>80.3075338931535</v>
      </c>
      <c r="G7">
        <f t="shared" si="1"/>
        <v>13.3845889821923</v>
      </c>
      <c r="H7">
        <f t="shared" si="2"/>
        <v>0.446152966073075</v>
      </c>
    </row>
    <row r="8" spans="1:8">
      <c r="A8">
        <v>10</v>
      </c>
      <c r="B8">
        <v>30</v>
      </c>
      <c r="C8">
        <v>130.2</v>
      </c>
      <c r="D8">
        <v>-5.7</v>
      </c>
      <c r="F8">
        <f t="shared" si="0"/>
        <v>130.324709859642</v>
      </c>
      <c r="G8">
        <f t="shared" si="1"/>
        <v>13.0324709859642</v>
      </c>
      <c r="H8">
        <f t="shared" si="2"/>
        <v>0.434415699532142</v>
      </c>
    </row>
    <row r="9" spans="1:8">
      <c r="A9">
        <v>10</v>
      </c>
      <c r="B9">
        <v>30</v>
      </c>
      <c r="C9">
        <v>130.7</v>
      </c>
      <c r="D9">
        <v>-4.6</v>
      </c>
      <c r="F9">
        <f t="shared" si="0"/>
        <v>130.780923685375</v>
      </c>
      <c r="G9">
        <f t="shared" si="1"/>
        <v>13.0780923685375</v>
      </c>
      <c r="H9">
        <f t="shared" si="2"/>
        <v>0.435936412284585</v>
      </c>
    </row>
    <row r="10" spans="1:8">
      <c r="A10">
        <v>10</v>
      </c>
      <c r="B10">
        <v>30</v>
      </c>
      <c r="C10">
        <v>130.2</v>
      </c>
      <c r="D10">
        <v>-1.1</v>
      </c>
      <c r="F10">
        <f t="shared" si="0"/>
        <v>130.204646614474</v>
      </c>
      <c r="G10">
        <f t="shared" si="1"/>
        <v>13.0204646614474</v>
      </c>
      <c r="H10">
        <f t="shared" si="2"/>
        <v>0.434015488714913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"/>
  <sheetViews>
    <sheetView tabSelected="1" workbookViewId="0">
      <selection activeCell="I11" sqref="I11"/>
    </sheetView>
  </sheetViews>
  <sheetFormatPr defaultColWidth="9" defaultRowHeight="14.25" outlineLevelCol="5"/>
  <sheetData>
    <row r="1" spans="1:6">
      <c r="A1" t="s">
        <v>0</v>
      </c>
      <c r="B1" t="s">
        <v>6</v>
      </c>
      <c r="C1" t="s">
        <v>1</v>
      </c>
      <c r="D1" t="s">
        <v>2</v>
      </c>
      <c r="E1" t="s">
        <v>3</v>
      </c>
      <c r="F1" t="s">
        <v>7</v>
      </c>
    </row>
    <row r="2" spans="1:6">
      <c r="A2">
        <v>3</v>
      </c>
      <c r="B2">
        <v>-20</v>
      </c>
      <c r="C2">
        <v>30</v>
      </c>
      <c r="D2">
        <v>23.9</v>
      </c>
      <c r="E2">
        <f>--5.7</f>
        <v>5.7</v>
      </c>
      <c r="F2">
        <v>-36</v>
      </c>
    </row>
    <row r="3" spans="1:6">
      <c r="A3">
        <v>6</v>
      </c>
      <c r="B3">
        <v>-20</v>
      </c>
      <c r="C3">
        <v>30</v>
      </c>
      <c r="D3">
        <v>46.4</v>
      </c>
      <c r="E3">
        <v>29.1</v>
      </c>
      <c r="F3">
        <v>-70</v>
      </c>
    </row>
    <row r="4" spans="1:6">
      <c r="A4">
        <v>3</v>
      </c>
      <c r="B4">
        <v>-10</v>
      </c>
      <c r="C4">
        <v>45</v>
      </c>
      <c r="D4">
        <v>69.9</v>
      </c>
      <c r="E4">
        <v>21.5</v>
      </c>
      <c r="F4">
        <v>-32</v>
      </c>
    </row>
    <row r="5" spans="1:6">
      <c r="A5">
        <v>6</v>
      </c>
      <c r="B5">
        <v>-10</v>
      </c>
      <c r="C5">
        <v>45</v>
      </c>
      <c r="D5">
        <v>119</v>
      </c>
      <c r="E5">
        <v>76.2</v>
      </c>
      <c r="F5">
        <v>-70</v>
      </c>
    </row>
    <row r="6" spans="1:6">
      <c r="A6">
        <v>3</v>
      </c>
      <c r="B6">
        <v>-5</v>
      </c>
      <c r="C6">
        <v>60</v>
      </c>
      <c r="D6">
        <v>102.4</v>
      </c>
      <c r="E6">
        <v>17.6</v>
      </c>
      <c r="F6">
        <v>-22</v>
      </c>
    </row>
    <row r="7" spans="1:6">
      <c r="A7">
        <v>6</v>
      </c>
      <c r="B7">
        <v>-5</v>
      </c>
      <c r="C7">
        <v>60</v>
      </c>
      <c r="D7">
        <v>188.6</v>
      </c>
      <c r="E7">
        <v>69.9</v>
      </c>
      <c r="F7">
        <v>-39</v>
      </c>
    </row>
    <row r="8" spans="1:6">
      <c r="A8">
        <v>3</v>
      </c>
      <c r="B8">
        <v>5</v>
      </c>
      <c r="C8">
        <v>60</v>
      </c>
      <c r="D8">
        <v>108.3</v>
      </c>
      <c r="E8">
        <v>-17.1</v>
      </c>
      <c r="F8">
        <f>22</f>
        <v>22</v>
      </c>
    </row>
    <row r="9" spans="1:6">
      <c r="A9">
        <v>6</v>
      </c>
      <c r="B9">
        <v>5</v>
      </c>
      <c r="C9">
        <v>60</v>
      </c>
      <c r="D9">
        <v>198.5</v>
      </c>
      <c r="E9">
        <v>-21.5</v>
      </c>
      <c r="F9">
        <v>48</v>
      </c>
    </row>
    <row r="10" spans="1:6">
      <c r="A10">
        <v>3</v>
      </c>
      <c r="B10">
        <v>10</v>
      </c>
      <c r="C10">
        <v>45</v>
      </c>
      <c r="D10">
        <v>80.2</v>
      </c>
      <c r="E10">
        <v>-23</v>
      </c>
      <c r="F10">
        <v>36</v>
      </c>
    </row>
    <row r="11" spans="1:6">
      <c r="A11">
        <v>6</v>
      </c>
      <c r="B11">
        <v>10</v>
      </c>
      <c r="C11">
        <v>45</v>
      </c>
      <c r="D11">
        <v>126.8</v>
      </c>
      <c r="E11">
        <v>-91.5</v>
      </c>
      <c r="F11">
        <v>79</v>
      </c>
    </row>
    <row r="12" spans="1:6">
      <c r="A12">
        <v>3</v>
      </c>
      <c r="B12">
        <v>20</v>
      </c>
      <c r="C12">
        <v>30</v>
      </c>
      <c r="D12">
        <v>31.5</v>
      </c>
      <c r="E12">
        <v>-5.8</v>
      </c>
      <c r="F12">
        <v>24</v>
      </c>
    </row>
    <row r="13" spans="1:6">
      <c r="A13">
        <v>6</v>
      </c>
      <c r="B13">
        <v>20</v>
      </c>
      <c r="C13">
        <v>30</v>
      </c>
      <c r="D13">
        <v>31.5</v>
      </c>
      <c r="E13">
        <v>-32.3</v>
      </c>
      <c r="F13">
        <v>58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王明昊</dc:creator>
  <cp:lastModifiedBy>harper</cp:lastModifiedBy>
  <dcterms:created xsi:type="dcterms:W3CDTF">2015-06-05T13:19:00Z</dcterms:created>
  <dcterms:modified xsi:type="dcterms:W3CDTF">2026-02-07T18:29:35Z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1033-11.1.0.11698</vt:lpwstr>
  </property>
</Properties>
</file>